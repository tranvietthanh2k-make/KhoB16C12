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KHO" sheetId="1" r:id="rId1"/>
    <sheet name="NHAT_K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<sst xmlns="http://schemas.openxmlformats.org/spreadsheetml/2006/main" count="83" uniqueCount="58">
  <si>
    <t>STT</t>
  </si>
  <si>
    <t>Loại vật chất</t>
  </si>
  <si>
    <t>Số lượng</t>
  </si>
  <si>
    <t>Nhập</t>
  </si>
  <si>
    <t>Xuất</t>
  </si>
  <si>
    <t>Tồn kho</t>
  </si>
  <si>
    <t>Thời gian mượn</t>
  </si>
  <si>
    <t>Người mượn</t>
  </si>
  <si>
    <t>1</t>
  </si>
  <si>
    <t>Cuốc BB</t>
  </si>
  <si>
    <t>2</t>
  </si>
  <si>
    <t>Xẻng BB</t>
  </si>
  <si>
    <t>3</t>
  </si>
  <si>
    <t>Nẹp 1m8</t>
  </si>
  <si>
    <t>4</t>
  </si>
  <si>
    <t>Nẹp 1m4</t>
  </si>
  <si>
    <t>5</t>
  </si>
  <si>
    <t>Xẻng pháo</t>
  </si>
  <si>
    <t>6</t>
  </si>
  <si>
    <t>Cuốc Pháo</t>
  </si>
  <si>
    <t>7</t>
  </si>
  <si>
    <t>Mặt nạ Phòng độc</t>
  </si>
  <si>
    <t>8</t>
  </si>
  <si>
    <t>Kéo cắt cỏ</t>
  </si>
  <si>
    <t>9</t>
  </si>
  <si>
    <t>Rựa</t>
  </si>
  <si>
    <t>10</t>
  </si>
  <si>
    <t>Chà rêu</t>
  </si>
  <si>
    <t>11</t>
  </si>
  <si>
    <t>Chổi quét nhà</t>
  </si>
  <si>
    <t>12</t>
  </si>
  <si>
    <t>Chổi lau nhà</t>
  </si>
  <si>
    <t>13</t>
  </si>
  <si>
    <t>Xà beng</t>
  </si>
  <si>
    <t>14</t>
  </si>
  <si>
    <t>Chổi xương</t>
  </si>
  <si>
    <t>15</t>
  </si>
  <si>
    <t xml:space="preserve">Xúc rác </t>
  </si>
  <si>
    <t>16</t>
  </si>
  <si>
    <t>Giá ba lô</t>
  </si>
  <si>
    <t>17</t>
  </si>
  <si>
    <t>Gậy hành quân</t>
  </si>
  <si>
    <t>18</t>
  </si>
  <si>
    <t>Nạng chữ thập</t>
  </si>
  <si>
    <t>20</t>
  </si>
  <si>
    <t>Lượng nổ 200g</t>
  </si>
  <si>
    <t>21</t>
  </si>
  <si>
    <t>Biển điểm tập</t>
  </si>
  <si>
    <t>22</t>
  </si>
  <si>
    <t>Đá mài</t>
  </si>
  <si>
    <t>23</t>
  </si>
  <si>
    <t>Bay Xây</t>
  </si>
  <si>
    <t>24</t>
  </si>
  <si>
    <t>Đai bụng</t>
  </si>
  <si>
    <t>Thời gian</t>
  </si>
  <si>
    <t>Vật chất</t>
  </si>
  <si>
    <t>Loại</t>
  </si>
  <si>
    <t>Đơn vị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</si>
</sst>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zoomScaleSheetLayoutView="60" workbookViewId="0">
      <selection activeCell="G2" sqref="G2"/>
    </sheetView>
  </sheetViews>
  <sheetFormatPr defaultColWidth="10" defaultRowHeight="14.4" outlineLevelCol="7"/>
  <cols>
    <col min="1" max="1" width="9.38888888888889" customWidth="1"/>
    <col min="2" max="2" width="17.2962962962963" customWidth="1"/>
    <col min="3" max="3" width="21.4444444444444" customWidth="1"/>
    <col min="4" max="4" width="12.8888888888889" customWidth="1"/>
    <col min="5" max="5" width="13.2222222222222" customWidth="1"/>
    <col min="6" max="6" width="20.6666666666667" customWidth="1"/>
    <col min="7" max="7" width="21.1111111111111" customWidth="1"/>
    <col min="8" max="8" width="37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 t="s">
        <v>8</v>
      </c>
      <c r="B2" t="s">
        <v>9</v>
      </c>
      <c r="C2">
        <v>9</v>
      </c>
      <c r="D2"/>
      <c r="E2"/>
      <c r="F2" s="1">
        <f>C2+IF(D2="",0,D2)-IF(E2="",0,E2)</f>
        <v>9</v>
      </c>
      <c r="H2" t="str" cm="1">
        <f t="array" ref="H2">IFERROR(LOOKUP(2,H41/((NHAT_KY!B:B=B2)*(NHAT_KY!C:C="Xuất")),NHAT_KY!E:E),"")</f>
        <v/>
      </c>
    </row>
    <row r="3" spans="1:8">
      <c r="A3" s="2" t="s">
        <v>10</v>
      </c>
      <c r="B3" t="s">
        <v>11</v>
      </c>
      <c r="C3">
        <v>22</v>
      </c>
      <c r="F3" s="1">
        <f t="shared" ref="F3:F24" si="0">C3+IF(D3="",0,D3)-IF(E3="",0,E3)</f>
        <v>22</v>
      </c>
      <c r="H3" t="str" cm="1">
        <f t="array" ref="H3">IFERROR(LOOKUP(2,1/((NHAT_KY!B:B=B3)*(NHAT_KY!C:C="Xuất")),NHAT_KY!E:E),"")</f>
        <v/>
      </c>
    </row>
    <row r="4" spans="1:8">
      <c r="A4" s="2" t="s">
        <v>12</v>
      </c>
      <c r="B4" t="s">
        <v>13</v>
      </c>
      <c r="C4">
        <v>16</v>
      </c>
      <c r="F4" s="1">
        <f t="shared" si="0"/>
        <v>16</v>
      </c>
      <c r="H4" t="str" cm="1">
        <f t="array" ref="H4">IFERROR(LOOKUP(2,1/((NHAT_KY!B:B=B4)*(NHAT_KY!C:C="Xuất")),NHAT_KY!E:E),"")</f>
        <v/>
      </c>
    </row>
    <row r="5" spans="1:8">
      <c r="A5" s="2" t="s">
        <v>14</v>
      </c>
      <c r="B5" t="s">
        <v>15</v>
      </c>
      <c r="C5">
        <v>6</v>
      </c>
      <c r="F5" s="1">
        <f t="shared" si="0"/>
        <v>6</v>
      </c>
      <c r="H5" t="str" cm="1">
        <f t="array" ref="H5">IFERROR(LOOKUP(2,1/((NHAT_KY!B:B=B5)*(NHAT_KY!C:C="Xuất")),NHAT_KY!E:E),"")</f>
        <v/>
      </c>
    </row>
    <row r="6" spans="1:8">
      <c r="A6" s="2" t="s">
        <v>16</v>
      </c>
      <c r="B6" t="s">
        <v>17</v>
      </c>
      <c r="C6">
        <v>15</v>
      </c>
      <c r="F6" s="1">
        <f t="shared" si="0"/>
        <v>15</v>
      </c>
      <c r="H6" t="str" cm="1">
        <f t="array" ref="H6">IFERROR(LOOKUP(2,1/((NHAT_KY!B:B=B6)*(NHAT_KY!C:C="Xuất")),NHAT_KY!E:E),"")</f>
        <v/>
      </c>
    </row>
    <row r="7" spans="1:8">
      <c r="A7" s="2" t="s">
        <v>18</v>
      </c>
      <c r="B7" t="s">
        <v>19</v>
      </c>
      <c r="C7">
        <v>7</v>
      </c>
      <c r="F7" s="1">
        <f t="shared" si="0"/>
        <v>7</v>
      </c>
      <c r="H7" t="str" cm="1">
        <f t="array" ref="H7">IFERROR(LOOKUP(2,1/((NHAT_KY!B:B=B7)*(NHAT_KY!C:C="Xuất")),NHAT_KY!E:E),"")</f>
        <v/>
      </c>
    </row>
    <row r="8" spans="1:8">
      <c r="A8" s="2" t="s">
        <v>20</v>
      </c>
      <c r="B8" t="s">
        <v>21</v>
      </c>
      <c r="C8">
        <v>13</v>
      </c>
      <c r="F8" s="1">
        <f t="shared" si="0"/>
        <v>13</v>
      </c>
      <c r="H8" t="str" cm="1">
        <f t="array" ref="H8">IFERROR(LOOKUP(2,1/((NHAT_KY!B:B=B8)*(NHAT_KY!C:C="Xuất")),NHAT_KY!E:E),"")</f>
        <v/>
      </c>
    </row>
    <row r="9" spans="1:8">
      <c r="A9" s="2" t="s">
        <v>22</v>
      </c>
      <c r="B9" t="s">
        <v>23</v>
      </c>
      <c r="C9">
        <v>15</v>
      </c>
      <c r="F9" s="1">
        <f t="shared" si="0"/>
        <v>15</v>
      </c>
      <c r="H9" t="str" cm="1">
        <f t="array" ref="H9">IFERROR(LOOKUP(2,1/((NHAT_KY!B:B=B9)*(NHAT_KY!C:C="Xuất")),NHAT_KY!E:E),"")</f>
        <v/>
      </c>
    </row>
    <row r="10" spans="1:8">
      <c r="A10" s="2" t="s">
        <v>24</v>
      </c>
      <c r="B10" t="s">
        <v>25</v>
      </c>
      <c r="C10">
        <v>14</v>
      </c>
      <c r="F10" s="1">
        <f t="shared" si="0"/>
        <v>14</v>
      </c>
      <c r="H10" t="str" cm="1">
        <f t="array" ref="H10">IFERROR(LOOKUP(2,1/((NHAT_KY!B:B=B10)*(NHAT_KY!C:C="Xuất")),NHAT_KY!E:E),"")</f>
        <v/>
      </c>
    </row>
    <row r="11" spans="1:8">
      <c r="A11" s="2" t="s">
        <v>26</v>
      </c>
      <c r="B11" t="s">
        <v>27</v>
      </c>
      <c r="C11">
        <v>25</v>
      </c>
      <c r="F11" s="1">
        <f t="shared" si="0"/>
        <v>25</v>
      </c>
      <c r="H11" t="str" cm="1">
        <f t="array" ref="H11">IFERROR(LOOKUP(2,1/((NHAT_KY!B:B=B11)*(NHAT_KY!C:C="Xuất")),NHAT_KY!E:E),"")</f>
        <v/>
      </c>
    </row>
    <row r="12" spans="1:8">
      <c r="A12" s="2" t="s">
        <v>28</v>
      </c>
      <c r="B12" t="s">
        <v>29</v>
      </c>
      <c r="C12">
        <v>15</v>
      </c>
      <c r="F12" s="1">
        <f t="shared" si="0"/>
        <v>15</v>
      </c>
      <c r="H12" t="str" cm="1">
        <f t="array" ref="H12">IFERROR(LOOKUP(2,1/((NHAT_KY!B:B=B12)*(NHAT_KY!C:C="Xuất")),NHAT_KY!E:E),"")</f>
        <v/>
      </c>
    </row>
    <row r="13" spans="1:8">
      <c r="A13" s="2" t="s">
        <v>30</v>
      </c>
      <c r="B13" t="s">
        <v>31</v>
      </c>
      <c r="C13">
        <v>16</v>
      </c>
      <c r="F13" s="1">
        <f t="shared" si="0"/>
        <v>16</v>
      </c>
      <c r="H13" t="str" cm="1">
        <f t="array" ref="H13">IFERROR(LOOKUP(2,1/((NHAT_KY!B:B=B13)*(NHAT_KY!C:C="Xuất")),NHAT_KY!E:E),"")</f>
        <v/>
      </c>
    </row>
    <row r="14" spans="1:8">
      <c r="A14" s="2" t="s">
        <v>32</v>
      </c>
      <c r="B14" t="s">
        <v>33</v>
      </c>
      <c r="C14">
        <v>3</v>
      </c>
      <c r="F14" s="1">
        <f t="shared" si="0"/>
        <v>3</v>
      </c>
      <c r="H14" t="str" cm="1">
        <f t="array" ref="H14">IFERROR(LOOKUP(2,1/((NHAT_KY!B:B=B14)*(NHAT_KY!C:C="Xuất")),NHAT_KY!E:E),"")</f>
        <v/>
      </c>
    </row>
    <row r="15" spans="1:8">
      <c r="A15" s="2" t="s">
        <v>34</v>
      </c>
      <c r="B15" t="s">
        <v>35</v>
      </c>
      <c r="C15">
        <v>10</v>
      </c>
      <c r="F15" s="1">
        <f t="shared" si="0"/>
        <v>10</v>
      </c>
      <c r="H15" t="str" cm="1">
        <f t="array" ref="H15">IFERROR(LOOKUP(2,1/((NHAT_KY!B:B=B15)*(NHAT_KY!C:C="Xuất")),NHAT_KY!E:E),"")</f>
        <v/>
      </c>
    </row>
    <row r="16" spans="1:8">
      <c r="A16" s="2" t="s">
        <v>36</v>
      </c>
      <c r="B16" t="s">
        <v>37</v>
      </c>
      <c r="C16">
        <v>5</v>
      </c>
      <c r="F16" s="1">
        <f t="shared" si="0"/>
        <v>5</v>
      </c>
      <c r="H16" t="str" cm="1">
        <f t="array" ref="H16">IFERROR(LOOKUP(2,1/((NHAT_KY!B:B=B16)*(NHAT_KY!C:C="Xuất")),NHAT_KY!E:E),"")</f>
        <v/>
      </c>
    </row>
    <row r="17" spans="1:8">
      <c r="A17" s="2" t="s">
        <v>38</v>
      </c>
      <c r="B17" t="s">
        <v>39</v>
      </c>
      <c r="C17">
        <v>40</v>
      </c>
      <c r="F17" s="1">
        <f t="shared" si="0"/>
        <v>40</v>
      </c>
      <c r="H17" t="str" cm="1">
        <f t="array" ref="H17">IFERROR(LOOKUP(2,1/((NHAT_KY!B:B=B17)*(NHAT_KY!C:C="Xuất")),NHAT_KY!E:E),"")</f>
        <v/>
      </c>
    </row>
    <row r="18" spans="1:8">
      <c r="A18" s="2" t="s">
        <v>40</v>
      </c>
      <c r="B18" t="s">
        <v>41</v>
      </c>
      <c r="C18">
        <v>50</v>
      </c>
      <c r="F18" s="1">
        <f t="shared" si="0"/>
        <v>50</v>
      </c>
      <c r="H18" t="str" cm="1">
        <f t="array" ref="H18">IFERROR(LOOKUP(2,1/((NHAT_KY!B:B=B18)*(NHAT_KY!C:C="Xuất")),NHAT_KY!E:E),"")</f>
        <v/>
      </c>
    </row>
    <row r="19" spans="1:8">
      <c r="A19" s="2" t="s">
        <v>42</v>
      </c>
      <c r="B19" t="s">
        <v>43</v>
      </c>
      <c r="C19">
        <v>26</v>
      </c>
      <c r="F19" s="1">
        <f t="shared" si="0"/>
        <v>26</v>
      </c>
      <c r="H19" t="str" cm="1">
        <f t="array" ref="H19">IFERROR(LOOKUP(2,1/((NHAT_KY!B:B=B19)*(NHAT_KY!C:C="Xuất")),NHAT_KY!E:E),"")</f>
        <v/>
      </c>
    </row>
    <row r="20" spans="1:8">
      <c r="A20" s="2" t="s">
        <v>44</v>
      </c>
      <c r="B20" t="s">
        <v>45</v>
      </c>
      <c r="C20">
        <v>725</v>
      </c>
      <c r="F20" s="1">
        <f t="shared" si="0"/>
        <v>725</v>
      </c>
      <c r="H20" t="str" cm="1">
        <f t="array" ref="H20">IFERROR(LOOKUP(2,1/((NHAT_KY!B:B=B20)*(NHAT_KY!C:C="Xuất")),NHAT_KY!E:E),"")</f>
        <v/>
      </c>
    </row>
    <row r="21" spans="1:8">
      <c r="A21" s="2" t="s">
        <v>46</v>
      </c>
      <c r="B21" t="s">
        <v>47</v>
      </c>
      <c r="C21">
        <v>4</v>
      </c>
      <c r="F21" s="1">
        <f t="shared" si="0"/>
        <v>4</v>
      </c>
      <c r="H21" t="str" cm="1">
        <f t="array" ref="H21">IFERROR(LOOKUP(2,1/((NHAT_KY!B:B=B21)*(NHAT_KY!C:C="Xuất")),NHAT_KY!E:E),"")</f>
        <v/>
      </c>
    </row>
    <row r="22" spans="1:8">
      <c r="A22" s="2" t="s">
        <v>48</v>
      </c>
      <c r="B22" t="s">
        <v>49</v>
      </c>
      <c r="C22">
        <v>10</v>
      </c>
      <c r="F22" s="1">
        <f t="shared" si="0"/>
        <v>10</v>
      </c>
      <c r="H22" t="str" cm="1">
        <f t="array" ref="H22">IFERROR(LOOKUP(2,1/((NHAT_KY!B:B=B22)*(NHAT_KY!C:C="Xuất")),NHAT_KY!E:E),"")</f>
        <v/>
      </c>
    </row>
    <row r="23" spans="1:8">
      <c r="A23" s="2" t="s">
        <v>50</v>
      </c>
      <c r="B23" t="s">
        <v>51</v>
      </c>
      <c r="C23">
        <v>2</v>
      </c>
      <c r="F23" s="1">
        <f t="shared" si="0"/>
        <v>2</v>
      </c>
      <c r="H23" t="str" cm="1">
        <f t="array" ref="H23">IFERROR(LOOKUP(2,1/((NHAT_KY!B:B=B23)*(NHAT_KY!C:C="Xuất")),NHAT_KY!E:E),"")</f>
        <v/>
      </c>
    </row>
    <row r="24" spans="1:8">
      <c r="A24" s="2" t="s">
        <v>52</v>
      </c>
      <c r="B24" t="s">
        <v>53</v>
      </c>
      <c r="C24">
        <v>22</v>
      </c>
      <c r="F24" s="1">
        <f t="shared" si="0"/>
        <v>22</v>
      </c>
      <c r="H24" t="str" cm="1">
        <f t="array" ref="H24">IFERROR(LOOKUP(2,1/((NHAT_KY!B:B=B24)*(NHAT_KY!C:C="Xuất")),NHAT_KY!E:E),"")</f>
        <v/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F2" sqref="F2"/>
    </sheetView>
  </sheetViews>
  <sheetFormatPr defaultColWidth="8.88888888888889" defaultRowHeight="14.4" outlineLevelCol="5"/>
  <cols>
    <col min="1" max="1" width="20.3333333333333" customWidth="1"/>
    <col min="2" max="2" width="24.8888888888889" customWidth="1"/>
    <col min="3" max="3" width="26.5555555555556" customWidth="1"/>
    <col min="4" max="4" width="20" customWidth="1"/>
    <col min="5" max="5" width="18.2222222222222" customWidth="1"/>
    <col min="6" max="6" width="14.8888888888889" customWidth="1"/>
  </cols>
  <sheetData>
    <row r="1" spans="1:6">
      <c r="A1" t="s">
        <v>54</v>
      </c>
      <c r="B1" t="s">
        <v>55</v>
      </c>
      <c r="C1" t="s">
        <v>56</v>
      </c>
      <c r="D1" t="s">
        <v>2</v>
      </c>
      <c r="E1" t="s">
        <v>7</v>
      </c>
      <c r="F1" t="s">
        <v>57</v>
      </c>
    </row>
    <row r="2" spans="2:4">
      <c r="B2" t="s">
        <v>9</v>
      </c>
      <c r="C2"/>
      <c r="D2" s="1"/>
    </row>
    <row r="3" spans="2:4">
      <c r="B3" t="s">
        <v>11</v>
      </c>
      <c r="C3"/>
      <c r="D3" s="1"/>
    </row>
    <row r="4" spans="2:4">
      <c r="B4" t="s">
        <v>13</v>
      </c>
      <c r="C4"/>
      <c r="D4" s="1"/>
    </row>
    <row r="5" spans="2:4">
      <c r="B5" t="s">
        <v>15</v>
      </c>
      <c r="C5"/>
      <c r="D5" s="1"/>
    </row>
    <row r="6" spans="2:4">
      <c r="B6" t="s">
        <v>17</v>
      </c>
      <c r="C6"/>
      <c r="D6" s="1"/>
    </row>
    <row r="7" spans="2:4">
      <c r="B7" t="s">
        <v>19</v>
      </c>
      <c r="C7"/>
      <c r="D7" s="1"/>
    </row>
    <row r="8" spans="2:4">
      <c r="B8" t="s">
        <v>21</v>
      </c>
      <c r="C8"/>
      <c r="D8" s="1"/>
    </row>
    <row r="9" spans="2:4">
      <c r="B9" t="s">
        <v>23</v>
      </c>
      <c r="C9"/>
      <c r="D9" s="1"/>
    </row>
    <row r="10" spans="2:4">
      <c r="B10" t="s">
        <v>25</v>
      </c>
      <c r="C10"/>
      <c r="D10" s="1"/>
    </row>
    <row r="11" spans="2:4">
      <c r="B11" t="s">
        <v>27</v>
      </c>
      <c r="C11"/>
      <c r="D11" s="1"/>
    </row>
    <row r="12" spans="2:4">
      <c r="B12" t="s">
        <v>29</v>
      </c>
      <c r="C12"/>
      <c r="D12" s="1"/>
    </row>
    <row r="13" spans="2:4">
      <c r="B13" t="s">
        <v>31</v>
      </c>
      <c r="C13"/>
      <c r="D13" s="1"/>
    </row>
    <row r="14" spans="2:4">
      <c r="B14" t="s">
        <v>33</v>
      </c>
      <c r="C14"/>
      <c r="D14" s="1"/>
    </row>
    <row r="15" spans="2:4">
      <c r="B15" t="s">
        <v>35</v>
      </c>
      <c r="C15"/>
      <c r="D15" s="1"/>
    </row>
    <row r="16" spans="2:4">
      <c r="B16" t="s">
        <v>37</v>
      </c>
      <c r="C16"/>
      <c r="D16" s="1"/>
    </row>
    <row r="17" spans="2:4">
      <c r="B17" t="s">
        <v>39</v>
      </c>
      <c r="C17"/>
      <c r="D17" s="1"/>
    </row>
    <row r="18" spans="2:4">
      <c r="B18" t="s">
        <v>41</v>
      </c>
      <c r="C18"/>
      <c r="D18" s="1"/>
    </row>
    <row r="19" spans="2:4">
      <c r="B19" t="s">
        <v>43</v>
      </c>
      <c r="C19"/>
      <c r="D19" s="1"/>
    </row>
    <row r="20" spans="2:4">
      <c r="B20" t="s">
        <v>45</v>
      </c>
      <c r="C20"/>
      <c r="D20" s="1"/>
    </row>
    <row r="21" spans="2:4">
      <c r="B21" t="s">
        <v>47</v>
      </c>
      <c r="C21"/>
      <c r="D21" s="1"/>
    </row>
    <row r="22" spans="2:4">
      <c r="B22" t="s">
        <v>49</v>
      </c>
      <c r="C22"/>
      <c r="D22" s="1"/>
    </row>
    <row r="23" spans="2:4">
      <c r="B23" t="s">
        <v>51</v>
      </c>
      <c r="C23"/>
      <c r="D23" s="1"/>
    </row>
    <row r="24" spans="2:4">
      <c r="B24" t="s">
        <v>53</v>
      </c>
      <c r="C24"/>
      <c r="D24" s="1"/>
    </row>
  </sheetData>
  <dataValidations count="1">
    <dataValidation type="list" allowBlank="1" showInputMessage="1" showErrorMessage="1" sqref="C$1:C$1048576">
      <formula1>"Nhập, Xuất"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KHO</vt:lpstr>
      <vt:lpstr>NHAT_KY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Phan Quang</cp:lastModifiedBy>
  <dcterms:created xsi:type="dcterms:W3CDTF">2026-03-14T00:21:00Z</dcterms:created>
  <dcterms:modified xsi:type="dcterms:W3CDTF">2026-03-28T02:48:59Z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D1D8CC28EFE9410F96B66616AD52685D_13</vt:lpwstr>
  </property>
  <property fmtid="{D5CDD505-2E9C-101B-9397-08002B2CF9AE}" pid="3" name="KSOProductBuildVer">
    <vt:lpwstr>1033-12.2.0.23197</vt:lpwstr>
  </property>
</Properties>
</file>